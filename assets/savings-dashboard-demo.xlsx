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Guide" state="visible" r:id="rId5"/>
  </sheets>
  <calcPr calcId="171027"/>
</workbook>
</file>

<file path=xl/sharedStrings.xml><?xml version="1.0" encoding="utf-8"?>
<sst xmlns="http://schemas.openxmlformats.org/spreadsheetml/2006/main" count="96" uniqueCount="75">
  <si>
    <t>Savings Dashboard Demo / קובץ דוגמה למרכז החסכונות</t>
  </si>
  <si>
    <t>Upload-ready example: rows 5-16 contain holdings, and columns O:P contain the update and growth story.</t>
  </si>
  <si>
    <t>מוצר</t>
  </si>
  <si>
    <t>מסלול</t>
  </si>
  <si>
    <t>סכום</t>
  </si>
  <si>
    <t>איפה</t>
  </si>
  <si>
    <t>אצל מי</t>
  </si>
  <si>
    <t>הפקדות בתקופה</t>
  </si>
  <si>
    <t>How To Use / איך משתמשים</t>
  </si>
  <si>
    <t>תאריך עדכון</t>
  </si>
  <si>
    <t>פנסיה</t>
  </si>
  <si>
    <t>מניות</t>
  </si>
  <si>
    <t>הראל</t>
  </si>
  <si>
    <t>אלון</t>
  </si>
  <si>
    <t>A:E are the required dashboard fields.</t>
  </si>
  <si>
    <t>סה"כ</t>
  </si>
  <si>
    <t>S&amp;P 500</t>
  </si>
  <si>
    <t>מנורה מבטחים</t>
  </si>
  <si>
    <t>נועה</t>
  </si>
  <si>
    <t>F is optional example data for deposits during the period.</t>
  </si>
  <si>
    <t>קרן השתלמות</t>
  </si>
  <si>
    <t>כללי</t>
  </si>
  <si>
    <t>מיטב</t>
  </si>
  <si>
    <t>P5 is calculated from the holding amounts automatically.</t>
  </si>
  <si>
    <t>סכום קודם</t>
  </si>
  <si>
    <t>מחקה מדד</t>
  </si>
  <si>
    <t>אלטשולר שחם</t>
  </si>
  <si>
    <t>O15:P20 store the historical totals used by the growth chart.</t>
  </si>
  <si>
    <t>אחוז עליה</t>
  </si>
  <si>
    <t>קופת גמל להשקעה</t>
  </si>
  <si>
    <t>אג"ח</t>
  </si>
  <si>
    <t>הפניקס</t>
  </si>
  <si>
    <t>משפחתי</t>
  </si>
  <si>
    <t>נטו עליה</t>
  </si>
  <si>
    <t>קופת גמל</t>
  </si>
  <si>
    <t>מניות חו"ל</t>
  </si>
  <si>
    <t>מור</t>
  </si>
  <si>
    <t>חיסכון לכל ילד</t>
  </si>
  <si>
    <t>מסלול בסיכון מוגבר</t>
  </si>
  <si>
    <t>דניאל</t>
  </si>
  <si>
    <t>מסלול הלכה</t>
  </si>
  <si>
    <t>יעל</t>
  </si>
  <si>
    <t>תיק השקעות</t>
  </si>
  <si>
    <t>מניות ישראל</t>
  </si>
  <si>
    <t>IBI</t>
  </si>
  <si>
    <t>חודשים קודמים</t>
  </si>
  <si>
    <t>אג"ח כללי</t>
  </si>
  <si>
    <t>פסגות</t>
  </si>
  <si>
    <t>YYYY-MM-DD</t>
  </si>
  <si>
    <t>פיקדון</t>
  </si>
  <si>
    <t>קצר מועד</t>
  </si>
  <si>
    <t>בנק לאומי</t>
  </si>
  <si>
    <t>2025-12-31</t>
  </si>
  <si>
    <t>עוקב נאסד"ק</t>
  </si>
  <si>
    <t>אנליסט</t>
  </si>
  <si>
    <t>2026-01-31</t>
  </si>
  <si>
    <t>2026-02-28</t>
  </si>
  <si>
    <t>2026-03-31</t>
  </si>
  <si>
    <t>2026-04-30</t>
  </si>
  <si>
    <t>2026-05-09</t>
  </si>
  <si>
    <t>Demo Workbook Guide / מדריך קצר לקובץ הדוגמה</t>
  </si>
  <si>
    <t>Use sheet1 for upload. This Guide sheet summarizes the sample portfolio and explains the file structure.</t>
  </si>
  <si>
    <t>Metric</t>
  </si>
  <si>
    <t>Value</t>
  </si>
  <si>
    <t>File Notes / הערות למבנה הקובץ</t>
  </si>
  <si>
    <t>Current total</t>
  </si>
  <si>
    <t>1. Keep the sheet name exactly as sheet1.</t>
  </si>
  <si>
    <t>Previous total</t>
  </si>
  <si>
    <t>2. Row 4 headers must stay in Hebrew as they appear in the template.</t>
  </si>
  <si>
    <t>Net change</t>
  </si>
  <si>
    <t>3. Rows 5 and below contain one holding per row.</t>
  </si>
  <si>
    <t>Growth</t>
  </si>
  <si>
    <t>4. Columns O:P are optional but power the growth story in the app.</t>
  </si>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</sst>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₪#,##0"/>
    <numFmt numFmtId="166" formatCode="0.0%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163147"/>
    </font>
    <font>
      <b/>
      <color rgb="FF163147"/>
    </font>
    <font>
      <color rgb="FF3C4A57"/>
    </font>
  </fonts>
  <fills count="8">
    <fill>
      <patternFill patternType="none"/>
    </fill>
    <fill>
      <patternFill patternType="gray125"/>
    </fill>
    <fill>
      <patternFill patternType="solid">
        <fgColor rgb="FF163147"/>
      </patternFill>
    </fill>
    <fill>
      <patternFill patternType="solid">
        <fgColor rgb="FFEAF1F5"/>
      </patternFill>
    </fill>
    <fill>
      <patternFill patternType="solid">
        <fgColor rgb="FF198C83"/>
      </patternFill>
    </fill>
    <fill>
      <patternFill patternType="solid">
        <fgColor rgb="FFD39A39"/>
      </patternFill>
    </fill>
    <fill>
      <patternFill patternType="solid">
        <fgColor rgb="FFF7F4EC"/>
      </patternFill>
    </fill>
    <fill>
      <patternFill patternType="solid">
        <fgColor rgb="FFFCFA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2" fillId="3" borderId="0" xfId="0" applyFont="1" applyFill="1" applyAlignment="1">
      <alignment vertical="center" wrapText="1"/>
    </xf>
    <xf numFmtId="0" fontId="1" fillId="4" borderId="0" xfId="0" applyFont="1" applyFill="1"/>
    <xf numFmtId="0" fontId="1" fillId="5" borderId="0" xfId="0" applyFont="1" applyFill="1" applyAlignment="1">
      <alignment horizontal="center"/>
    </xf>
    <xf numFmtId="0" fontId="3" fillId="3" borderId="0" xfId="0" applyFont="1" applyFill="1"/>
    <xf numFmtId="164" fontId="0" fillId="0" borderId="0" xfId="0" applyNumberFormat="1"/>
    <xf numFmtId="165" fontId="0" fillId="0" borderId="0" xfId="0" applyNumberFormat="1"/>
    <xf numFmtId="0" fontId="4" fillId="6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166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2" customWidth="1"/>
    <col min="4" max="4" width="18" customWidth="1"/>
    <col min="5" max="6" width="14" customWidth="1"/>
    <col min="8" max="13" width="13" customWidth="1"/>
    <col min="15" max="15" width="16" customWidth="1"/>
    <col min="16" max="16" width="14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4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4" t="s">
        <v>8</v>
      </c>
      <c r="I4" s="4"/>
      <c r="J4" s="4"/>
      <c r="K4" s="4"/>
      <c r="L4" s="4"/>
      <c r="M4" s="4"/>
      <c r="O4" s="5" t="s">
        <v>9</v>
      </c>
      <c r="P4" s="6">
        <v>46151.375</v>
      </c>
    </row>
    <row r="5" spans="1:16" x14ac:dyDescent="0.25">
      <c r="A5" t="s">
        <v>10</v>
      </c>
      <c r="B5" t="s">
        <v>11</v>
      </c>
      <c r="C5" s="7">
        <v>182000</v>
      </c>
      <c r="D5" t="s">
        <v>12</v>
      </c>
      <c r="E5" t="s">
        <v>13</v>
      </c>
      <c r="F5" s="7">
        <v>6500</v>
      </c>
      <c r="H5" s="8" t="s">
        <v>14</v>
      </c>
      <c r="I5" s="8"/>
      <c r="J5" s="8"/>
      <c r="K5" s="8"/>
      <c r="L5" s="8"/>
      <c r="M5" s="8"/>
      <c r="O5" s="5" t="s">
        <v>15</v>
      </c>
      <c r="P5" s="7">
        <f>SUM(C5:C16)</f>
        <v>1089500</v>
      </c>
    </row>
    <row r="6" spans="1:15" x14ac:dyDescent="0.25">
      <c r="A6" t="s">
        <v>10</v>
      </c>
      <c r="B6" t="s">
        <v>16</v>
      </c>
      <c r="C6" s="7">
        <v>158000</v>
      </c>
      <c r="D6" t="s">
        <v>17</v>
      </c>
      <c r="E6" t="s">
        <v>18</v>
      </c>
      <c r="F6" s="7">
        <v>5400</v>
      </c>
      <c r="H6" s="9" t="s">
        <v>19</v>
      </c>
      <c r="I6" s="9"/>
      <c r="J6" s="9"/>
      <c r="K6" s="9"/>
      <c r="L6" s="9"/>
      <c r="M6" s="9"/>
    </row>
    <row r="7" spans="1:16" x14ac:dyDescent="0.25">
      <c r="A7" t="s">
        <v>20</v>
      </c>
      <c r="B7" t="s">
        <v>21</v>
      </c>
      <c r="C7" s="7">
        <v>94000</v>
      </c>
      <c r="D7" t="s">
        <v>22</v>
      </c>
      <c r="E7" t="s">
        <v>13</v>
      </c>
      <c r="F7" s="7">
        <v>3200</v>
      </c>
      <c r="H7" s="8" t="s">
        <v>23</v>
      </c>
      <c r="I7" s="8"/>
      <c r="J7" s="8"/>
      <c r="K7" s="8"/>
      <c r="L7" s="8"/>
      <c r="M7" s="8"/>
      <c r="O7" s="5" t="s">
        <v>24</v>
      </c>
      <c r="P7" s="7">
        <f>P19</f>
        <v>1054000</v>
      </c>
    </row>
    <row r="8" spans="1:16" x14ac:dyDescent="0.25">
      <c r="A8" t="s">
        <v>20</v>
      </c>
      <c r="B8" t="s">
        <v>25</v>
      </c>
      <c r="C8" s="7">
        <v>118000</v>
      </c>
      <c r="D8" t="s">
        <v>26</v>
      </c>
      <c r="E8" t="s">
        <v>18</v>
      </c>
      <c r="F8" s="7">
        <v>4100</v>
      </c>
      <c r="H8" s="9" t="s">
        <v>27</v>
      </c>
      <c r="I8" s="9"/>
      <c r="J8" s="9"/>
      <c r="K8" s="9"/>
      <c r="L8" s="9"/>
      <c r="M8" s="9"/>
      <c r="O8" s="5" t="s">
        <v>28</v>
      </c>
      <c r="P8" s="10">
        <f>IFERROR(P5/P7-1,0)</f>
        <v>0.03368121442125238</v>
      </c>
    </row>
    <row r="9" spans="1:16" x14ac:dyDescent="0.25">
      <c r="A9" t="s">
        <v>29</v>
      </c>
      <c r="B9" t="s">
        <v>30</v>
      </c>
      <c r="C9" s="7">
        <v>76000</v>
      </c>
      <c r="D9" t="s">
        <v>31</v>
      </c>
      <c r="E9" t="s">
        <v>32</v>
      </c>
      <c r="F9" s="7">
        <v>2200</v>
      </c>
      <c r="O9" s="5" t="s">
        <v>33</v>
      </c>
      <c r="P9" s="7">
        <f>P5-P7</f>
        <v>35500</v>
      </c>
    </row>
    <row r="10" spans="1:6" x14ac:dyDescent="0.25">
      <c r="A10" t="s">
        <v>34</v>
      </c>
      <c r="B10" t="s">
        <v>35</v>
      </c>
      <c r="C10" s="7">
        <v>69000</v>
      </c>
      <c r="D10" t="s">
        <v>36</v>
      </c>
      <c r="E10" t="s">
        <v>13</v>
      </c>
      <c r="F10" s="7">
        <v>1800</v>
      </c>
    </row>
    <row r="11" spans="1:6" x14ac:dyDescent="0.25">
      <c r="A11" t="s">
        <v>37</v>
      </c>
      <c r="B11" t="s">
        <v>38</v>
      </c>
      <c r="C11" s="7">
        <v>28400</v>
      </c>
      <c r="D11" t="s">
        <v>12</v>
      </c>
      <c r="E11" t="s">
        <v>39</v>
      </c>
      <c r="F11" s="7">
        <v>900</v>
      </c>
    </row>
    <row r="12" spans="1:6" x14ac:dyDescent="0.25">
      <c r="A12" t="s">
        <v>37</v>
      </c>
      <c r="B12" t="s">
        <v>40</v>
      </c>
      <c r="C12" s="7">
        <v>27100</v>
      </c>
      <c r="D12" t="s">
        <v>17</v>
      </c>
      <c r="E12" t="s">
        <v>41</v>
      </c>
      <c r="F12" s="7">
        <v>900</v>
      </c>
    </row>
    <row r="13" spans="1:16" x14ac:dyDescent="0.25">
      <c r="A13" t="s">
        <v>42</v>
      </c>
      <c r="B13" t="s">
        <v>43</v>
      </c>
      <c r="C13" s="7">
        <v>123000</v>
      </c>
      <c r="D13" t="s">
        <v>44</v>
      </c>
      <c r="E13" t="s">
        <v>13</v>
      </c>
      <c r="F13" s="7">
        <v>5000</v>
      </c>
      <c r="O13" s="11" t="s">
        <v>45</v>
      </c>
      <c r="P13" s="11"/>
    </row>
    <row r="14" spans="1:16" x14ac:dyDescent="0.25">
      <c r="A14" t="s">
        <v>42</v>
      </c>
      <c r="B14" t="s">
        <v>46</v>
      </c>
      <c r="C14" s="7">
        <v>88000</v>
      </c>
      <c r="D14" t="s">
        <v>47</v>
      </c>
      <c r="E14" t="s">
        <v>32</v>
      </c>
      <c r="F14" s="7">
        <v>2500</v>
      </c>
      <c r="O14" s="11" t="s">
        <v>48</v>
      </c>
      <c r="P14" s="11" t="s">
        <v>4</v>
      </c>
    </row>
    <row r="15" spans="1:16" x14ac:dyDescent="0.25">
      <c r="A15" t="s">
        <v>49</v>
      </c>
      <c r="B15" t="s">
        <v>50</v>
      </c>
      <c r="C15" s="7">
        <v>45000</v>
      </c>
      <c r="D15" t="s">
        <v>51</v>
      </c>
      <c r="E15" t="s">
        <v>32</v>
      </c>
      <c r="F15" s="7">
        <v>10000</v>
      </c>
      <c r="O15" t="s">
        <v>52</v>
      </c>
      <c r="P15" s="7">
        <v>910000</v>
      </c>
    </row>
    <row r="16" spans="1:16" x14ac:dyDescent="0.25">
      <c r="A16" t="s">
        <v>29</v>
      </c>
      <c r="B16" t="s">
        <v>53</v>
      </c>
      <c r="C16" s="7">
        <v>81000</v>
      </c>
      <c r="D16" t="s">
        <v>54</v>
      </c>
      <c r="E16" t="s">
        <v>18</v>
      </c>
      <c r="F16" s="7">
        <v>2700</v>
      </c>
      <c r="O16" t="s">
        <v>55</v>
      </c>
      <c r="P16" s="7">
        <v>934500</v>
      </c>
    </row>
    <row r="17" spans="15:16" x14ac:dyDescent="0.25">
      <c r="O17" t="s">
        <v>56</v>
      </c>
      <c r="P17" s="7">
        <v>962000</v>
      </c>
    </row>
    <row r="18" spans="15:16" x14ac:dyDescent="0.25">
      <c r="O18" t="s">
        <v>57</v>
      </c>
      <c r="P18" s="7">
        <v>1001500</v>
      </c>
    </row>
    <row r="19" spans="15:16" x14ac:dyDescent="0.25">
      <c r="O19" t="s">
        <v>58</v>
      </c>
      <c r="P19" s="7">
        <v>1054000</v>
      </c>
    </row>
    <row r="20" spans="15:16" x14ac:dyDescent="0.25">
      <c r="O20" t="s">
        <v>59</v>
      </c>
      <c r="P20" s="7">
        <v>1089500</v>
      </c>
    </row>
  </sheetData>
  <mergeCells count="7">
    <mergeCell ref="A1:F1"/>
    <mergeCell ref="A2:F2"/>
    <mergeCell ref="H4:M4"/>
    <mergeCell ref="H5:M5"/>
    <mergeCell ref="H6:M6"/>
    <mergeCell ref="H7:M7"/>
    <mergeCell ref="H8:M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2" width="14" customWidth="1"/>
    <col min="4" max="8" width="16" customWidth="1"/>
  </cols>
  <sheetData>
    <row r="1" ht="28" customHeight="1" spans="1:8" x14ac:dyDescent="0.25">
      <c r="A1" s="12" t="s">
        <v>60</v>
      </c>
      <c r="B1" s="12"/>
      <c r="C1" s="12"/>
      <c r="D1" s="12"/>
      <c r="E1" s="12"/>
      <c r="F1" s="12"/>
      <c r="G1" s="12"/>
      <c r="H1" s="12"/>
    </row>
    <row r="2" spans="1:8" x14ac:dyDescent="0.25">
      <c r="A2" s="2" t="s">
        <v>61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62</v>
      </c>
      <c r="B4" s="3" t="s">
        <v>63</v>
      </c>
      <c r="D4" s="4" t="s">
        <v>64</v>
      </c>
      <c r="E4" s="4"/>
      <c r="F4" s="4"/>
      <c r="G4" s="4"/>
      <c r="H4" s="4"/>
    </row>
    <row r="5" spans="1:8" x14ac:dyDescent="0.25">
      <c r="A5" t="s">
        <v>65</v>
      </c>
      <c r="B5" s="7">
        <f>sheet1!P5</f>
        <v>1089500</v>
      </c>
      <c r="D5" s="8" t="s">
        <v>66</v>
      </c>
      <c r="E5" s="8"/>
      <c r="F5" s="8"/>
      <c r="G5" s="8"/>
      <c r="H5" s="8"/>
    </row>
    <row r="6" spans="1:8" x14ac:dyDescent="0.25">
      <c r="A6" t="s">
        <v>67</v>
      </c>
      <c r="B6" s="7">
        <f>sheet1!P7</f>
        <v>1054000</v>
      </c>
      <c r="D6" s="9" t="s">
        <v>68</v>
      </c>
      <c r="E6" s="9"/>
      <c r="F6" s="9"/>
      <c r="G6" s="9"/>
      <c r="H6" s="9"/>
    </row>
    <row r="7" spans="1:8" x14ac:dyDescent="0.25">
      <c r="A7" t="s">
        <v>69</v>
      </c>
      <c r="B7" s="7">
        <f>sheet1!P9</f>
        <v>35500</v>
      </c>
      <c r="D7" s="8" t="s">
        <v>70</v>
      </c>
      <c r="E7" s="8"/>
      <c r="F7" s="8"/>
      <c r="G7" s="8"/>
      <c r="H7" s="8"/>
    </row>
    <row r="8" spans="1:8" x14ac:dyDescent="0.25">
      <c r="A8" t="s">
        <v>71</v>
      </c>
      <c r="B8" s="10">
        <f>sheet1!P8</f>
        <v>0.03368121442125238</v>
      </c>
      <c r="D8" s="9" t="s">
        <v>72</v>
      </c>
      <c r="E8" s="9"/>
      <c r="F8" s="9"/>
      <c r="G8" s="9"/>
      <c r="H8" s="9"/>
    </row>
    <row r="10" spans="1:2" x14ac:dyDescent="0.25">
      <c r="A10" s="11" t="s">
        <v>73</v>
      </c>
      <c r="B10" s="11" t="s">
        <v>74</v>
      </c>
    </row>
    <row r="11" spans="1:2" x14ac:dyDescent="0.25">
      <c r="A11" t="s">
        <v>52</v>
      </c>
      <c r="B11" s="7">
        <v>910000</v>
      </c>
    </row>
    <row r="12" spans="1:2" x14ac:dyDescent="0.25">
      <c r="A12" t="s">
        <v>55</v>
      </c>
      <c r="B12" s="7">
        <v>934500</v>
      </c>
    </row>
    <row r="13" spans="1:2" x14ac:dyDescent="0.25">
      <c r="A13" t="s">
        <v>56</v>
      </c>
      <c r="B13" s="7">
        <v>962000</v>
      </c>
    </row>
    <row r="14" spans="1:2" x14ac:dyDescent="0.25">
      <c r="A14" t="s">
        <v>57</v>
      </c>
      <c r="B14" s="7">
        <v>1001500</v>
      </c>
    </row>
    <row r="15" spans="1:2" x14ac:dyDescent="0.25">
      <c r="A15" t="s">
        <v>58</v>
      </c>
      <c r="B15" s="7">
        <v>1054000</v>
      </c>
    </row>
    <row r="16" spans="1:2" x14ac:dyDescent="0.25">
      <c r="A16" t="s">
        <v>59</v>
      </c>
      <c r="B16" s="7">
        <v>1089500</v>
      </c>
    </row>
  </sheetData>
  <mergeCells count="7">
    <mergeCell ref="A1:H1"/>
    <mergeCell ref="A2:H2"/>
    <mergeCell ref="D4:H4"/>
    <mergeCell ref="D5:H5"/>
    <mergeCell ref="D6:H6"/>
    <mergeCell ref="D7:H7"/>
    <mergeCell ref="D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2026-05-15T10:07:24Z</dcterms:created>
  <dcterms:modified xsi:type="dcterms:W3CDTF">2026-05-15T10:07:24Z</dcterms:modified>
</cp:coreProperties>
</file>