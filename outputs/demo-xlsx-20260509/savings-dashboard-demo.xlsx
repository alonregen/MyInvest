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ef8157f35243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b1e12ddae684c97"/>
    <x:sheet xmlns:r="http://schemas.openxmlformats.org/officeDocument/2006/relationships" name="Guide" sheetId="2" r:id="R4399249cb4df46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₪#,##0"/>
    <x:numFmt numFmtId="201" formatCode="yyyy-mm-dd"/>
    <x:numFmt numFmtId="202" formatCode="0.0%"/>
  </x:numFmts>
  <x:fonts count="5">
    <x:font>
      <x:sz val="11"/>
      <x:name val="Carlito"/>
    </x:font>
    <x:font>
      <x:b/>
      <x:sz val="11"/>
      <x:color rgb="FFFFFF"/>
      <x:name val="Carlito"/>
    </x:font>
    <x:font>
      <x:sz val="11"/>
      <x:color rgb="163147"/>
      <x:name val="Carlito"/>
    </x:font>
    <x:font>
      <x:sz val="11"/>
      <x:color rgb="3C4A57"/>
      <x:name val="Carlito"/>
    </x:font>
    <x:font>
      <x:b/>
      <x:sz val="11"/>
      <x:color rgb="16314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163147"/>
      </x:patternFill>
    </x:fill>
    <x:fill>
      <x:patternFill patternType="solid">
        <x:fgColor rgb="EAF1F5"/>
      </x:patternFill>
    </x:fill>
    <x:fill>
      <x:patternFill patternType="solid">
        <x:fgColor rgb="198C83"/>
      </x:patternFill>
    </x:fill>
    <x:fill>
      <x:patternFill patternType="solid">
        <x:fgColor rgb="D39A39"/>
      </x:patternFill>
    </x:fill>
    <x:fill>
      <x:patternFill patternType="solid">
        <x:fgColor rgb="F7F4EC"/>
      </x:patternFill>
    </x:fill>
    <x:fill>
      <x:patternFill patternType="solid">
        <x:fgColor rgb="FCFAF4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4" fillId="3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2a2c8894234902" /><Relationship Type="http://schemas.openxmlformats.org/officeDocument/2006/relationships/theme" Target="/xl/theme/theme1.xml" Id="Rf62d9d3fe3b7401d" /><Relationship Type="http://schemas.openxmlformats.org/officeDocument/2006/relationships/sharedStrings" Target="/xl/sharedStrings.xml" Id="Rcbd3e490c6744c1b" /><Relationship Type="http://schemas.openxmlformats.org/officeDocument/2006/relationships/worksheet" Target="/xl/worksheets/sheet1.xml" Id="Rab1e12ddae684c97" /><Relationship Type="http://schemas.openxmlformats.org/officeDocument/2006/relationships/worksheet" Target="/xl/worksheets/sheet2.xml" Id="R4399249cb4df46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7e1da8a0d74da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Growth Example</a:t>
            </a:r>
          </a:p>
        </c:rich>
      </c:tx>
      <c:overlay val="0"/>
    </c:title>
    <c:autoTitleDeleted val="0"/>
    <c:plotArea>
      <c:layout/>
      <c:lineChart>
        <c:ser>
          <c:idx val="0"/>
          <c:order val="0"/>
          <c:tx>
            <c:v>Total</c:v>
          </c:tx>
          <c:cat>
            <c:strRef>
              <c:f>'Guide'!$A$11:$A$16</c:f>
              <c:strCache>
                <c:ptCount val="0"/>
              </c:strCache>
            </c:strRef>
          </c:cat>
          <c:val>
            <c:numRef>
              <c:f>'Guide'!$B$11:$B$16</c:f>
              <c:numCache>
                <c:formatCode>₪#,##0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₪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7e1da8a0d74da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a076e7c6e26498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2" hidden="0" customWidth="1"/>
    <x:col min="4" max="4" width="18" hidden="0" customWidth="1"/>
    <x:col min="5" max="5" width="14" hidden="0" customWidth="1"/>
    <x:col min="6" max="6" width="14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5" max="15" width="16" hidden="0" customWidth="1"/>
    <x:col min="16" max="16" width="14" hidden="0" customWidth="1"/>
  </x:cols>
  <x:sheetData>
    <x:row r="1" ht="28" customHeight="1">
      <x:c r="A1" s="2" t="str">
        <x:v>Savings Dashboard Demo / קובץ דוגמה למרכז החסכונות</x:v>
      </x:c>
      <x:c r="B1" s="2" t="str">
        <x:v>Savings Dashboard Demo / קובץ דוגמה למרכז החסכונות</x:v>
      </x:c>
      <x:c r="C1" s="2" t="str">
        <x:v>Savings Dashboard Demo / קובץ דוגמה למרכז החסכונות</x:v>
      </x:c>
      <x:c r="D1" s="2" t="str">
        <x:v>Savings Dashboard Demo / קובץ דוגמה למרכז החסכונות</x:v>
      </x:c>
      <x:c r="E1" s="2" t="str">
        <x:v>Savings Dashboard Demo / קובץ דוגמה למרכז החסכונות</x:v>
      </x:c>
      <x:c r="F1" s="2" t="str">
        <x:v>Savings Dashboard Demo / קובץ דוגמה למרכז החסכונות</x:v>
      </x:c>
    </x:row>
    <x:row r="2" ht="22" customHeight="1">
      <x:c r="A2" s="4" t="str">
        <x:v>Upload-ready example: rows 5-16 contain holdings, and columns O:P contain the update and growth story.</x:v>
      </x:c>
      <x:c r="B2" s="4" t="str">
        <x:v>Upload-ready example: rows 5-16 contain holdings, and columns O:P contain the update and growth story.</x:v>
      </x:c>
      <x:c r="C2" s="4" t="str">
        <x:v>Upload-ready example: rows 5-16 contain holdings, and columns O:P contain the update and growth story.</x:v>
      </x:c>
      <x:c r="D2" s="4" t="str">
        <x:v>Upload-ready example: rows 5-16 contain holdings, and columns O:P contain the update and growth story.</x:v>
      </x:c>
      <x:c r="E2" s="4" t="str">
        <x:v>Upload-ready example: rows 5-16 contain holdings, and columns O:P contain the update and growth story.</x:v>
      </x:c>
      <x:c r="F2" s="4" t="str">
        <x:v>Upload-ready example: rows 5-16 contain holdings, and columns O:P contain the update and growth story.</x:v>
      </x:c>
    </x:row>
    <x:row r="4">
      <x:c r="A4" s="6" t="str">
        <x:v>מוצר</x:v>
      </x:c>
      <x:c r="B4" s="6" t="str">
        <x:v>מסלול</x:v>
      </x:c>
      <x:c r="C4" s="6" t="str">
        <x:v>סכום</x:v>
      </x:c>
      <x:c r="D4" s="6" t="str">
        <x:v>איפה</x:v>
      </x:c>
      <x:c r="E4" s="6" t="str">
        <x:v>אצל מי</x:v>
      </x:c>
      <x:c r="F4" s="6" t="str">
        <x:v>הפקדות בתקופה</x:v>
      </x:c>
      <x:c r="H4" s="9" t="str">
        <x:v>How To Use / איך משתמשים</x:v>
      </x:c>
      <x:c r="I4" s="9" t="str">
        <x:v>How To Use / איך משתמשים</x:v>
      </x:c>
      <x:c r="J4" s="9" t="str">
        <x:v>How To Use / איך משתמשים</x:v>
      </x:c>
      <x:c r="K4" s="9" t="str">
        <x:v>How To Use / איך משתמשים</x:v>
      </x:c>
      <x:c r="L4" s="9" t="str">
        <x:v>How To Use / איך משתמשים</x:v>
      </x:c>
      <x:c r="M4" s="9" t="str">
        <x:v>How To Use / איך משתמשים</x:v>
      </x:c>
      <x:c r="O4" s="14" t="str">
        <x:v>תאריך עדכון</x:v>
      </x:c>
      <x:c r="P4" s="15" t="n">
        <x:v>46151</x:v>
      </x:c>
    </x:row>
    <x:row r="5">
      <x:c r="A5" t="str">
        <x:v>פנסיה</x:v>
      </x:c>
      <x:c r="B5" t="str">
        <x:v>מניות</x:v>
      </x:c>
      <x:c r="C5" s="7" t="n">
        <x:v>182000</x:v>
      </x:c>
      <x:c r="D5" t="str">
        <x:v>הראל</x:v>
      </x:c>
      <x:c r="E5" t="str">
        <x:v>אלון</x:v>
      </x:c>
      <x:c r="F5" s="7" t="n">
        <x:v>6500</x:v>
      </x:c>
      <x:c r="H5" s="11" t="str">
        <x:v>A:E are the required dashboard fields.</x:v>
      </x:c>
      <x:c r="I5" s="11" t="str">
        <x:v>A:E are the required dashboard fields.</x:v>
      </x:c>
      <x:c r="J5" s="11" t="str">
        <x:v>A:E are the required dashboard fields.</x:v>
      </x:c>
      <x:c r="K5" s="11" t="str">
        <x:v>A:E are the required dashboard fields.</x:v>
      </x:c>
      <x:c r="L5" s="11" t="str">
        <x:v>A:E are the required dashboard fields.</x:v>
      </x:c>
      <x:c r="M5" s="11" t="str">
        <x:v>A:E are the required dashboard fields.</x:v>
      </x:c>
      <x:c r="O5" s="14" t="str">
        <x:v>סה"כ</x:v>
      </x:c>
      <x:c r="P5" s="7" t="n">
        <x:f>SUM(C5:C16)</x:f>
        <x:v>1089500</x:v>
      </x:c>
    </x:row>
    <x:row r="6">
      <x:c r="A6" t="str">
        <x:v>פנסיה</x:v>
      </x:c>
      <x:c r="B6" t="str">
        <x:v>S&amp;P 500</x:v>
      </x:c>
      <x:c r="C6" s="7" t="n">
        <x:v>158000</x:v>
      </x:c>
      <x:c r="D6" t="str">
        <x:v>מנורה מבטחים</x:v>
      </x:c>
      <x:c r="E6" t="str">
        <x:v>נועה</x:v>
      </x:c>
      <x:c r="F6" s="7" t="n">
        <x:v>5400</x:v>
      </x:c>
      <x:c r="H6" s="13" t="str">
        <x:v>F is optional example data for deposits during the period.</x:v>
      </x:c>
      <x:c r="I6" s="13" t="str">
        <x:v>F is optional example data for deposits during the period.</x:v>
      </x:c>
      <x:c r="J6" s="13" t="str">
        <x:v>F is optional example data for deposits during the period.</x:v>
      </x:c>
      <x:c r="K6" s="13" t="str">
        <x:v>F is optional example data for deposits during the period.</x:v>
      </x:c>
      <x:c r="L6" s="13" t="str">
        <x:v>F is optional example data for deposits during the period.</x:v>
      </x:c>
      <x:c r="M6" s="13" t="str">
        <x:v>F is optional example data for deposits during the period.</x:v>
      </x:c>
      <x:c r="O6" s="14"/>
      <x:c r="P6" s="7"/>
    </x:row>
    <x:row r="7">
      <x:c r="A7" t="str">
        <x:v>קרן השתלמות</x:v>
      </x:c>
      <x:c r="B7" t="str">
        <x:v>כללי</x:v>
      </x:c>
      <x:c r="C7" s="7" t="n">
        <x:v>94000</x:v>
      </x:c>
      <x:c r="D7" t="str">
        <x:v>מיטב</x:v>
      </x:c>
      <x:c r="E7" t="str">
        <x:v>אלון</x:v>
      </x:c>
      <x:c r="F7" s="7" t="n">
        <x:v>3200</x:v>
      </x:c>
      <x:c r="H7" s="11" t="str">
        <x:v>P5 is calculated from the holding amounts automatically.</x:v>
      </x:c>
      <x:c r="I7" s="11" t="str">
        <x:v>P5 is calculated from the holding amounts automatically.</x:v>
      </x:c>
      <x:c r="J7" s="11" t="str">
        <x:v>P5 is calculated from the holding amounts automatically.</x:v>
      </x:c>
      <x:c r="K7" s="11" t="str">
        <x:v>P5 is calculated from the holding amounts automatically.</x:v>
      </x:c>
      <x:c r="L7" s="11" t="str">
        <x:v>P5 is calculated from the holding amounts automatically.</x:v>
      </x:c>
      <x:c r="M7" s="11" t="str">
        <x:v>P5 is calculated from the holding amounts automatically.</x:v>
      </x:c>
      <x:c r="O7" s="14" t="str">
        <x:v>סכום קודם</x:v>
      </x:c>
      <x:c r="P7" s="7" t="n">
        <x:f>P19</x:f>
        <x:v>1054000</x:v>
      </x:c>
    </x:row>
    <x:row r="8">
      <x:c r="A8" t="str">
        <x:v>קרן השתלמות</x:v>
      </x:c>
      <x:c r="B8" t="str">
        <x:v>מחקה מדד</x:v>
      </x:c>
      <x:c r="C8" s="7" t="n">
        <x:v>118000</x:v>
      </x:c>
      <x:c r="D8" t="str">
        <x:v>אלטשולר שחם</x:v>
      </x:c>
      <x:c r="E8" t="str">
        <x:v>נועה</x:v>
      </x:c>
      <x:c r="F8" s="7" t="n">
        <x:v>4100</x:v>
      </x:c>
      <x:c r="H8" s="13" t="str">
        <x:v>O15:P20 store the historical totals used by the growth chart.</x:v>
      </x:c>
      <x:c r="I8" s="13" t="str">
        <x:v>O15:P20 store the historical totals used by the growth chart.</x:v>
      </x:c>
      <x:c r="J8" s="13" t="str">
        <x:v>O15:P20 store the historical totals used by the growth chart.</x:v>
      </x:c>
      <x:c r="K8" s="13" t="str">
        <x:v>O15:P20 store the historical totals used by the growth chart.</x:v>
      </x:c>
      <x:c r="L8" s="13" t="str">
        <x:v>O15:P20 store the historical totals used by the growth chart.</x:v>
      </x:c>
      <x:c r="M8" s="13" t="str">
        <x:v>O15:P20 store the historical totals used by the growth chart.</x:v>
      </x:c>
      <x:c r="O8" s="14" t="str">
        <x:v>אחוז עליה</x:v>
      </x:c>
      <x:c r="P8" s="16" t="n">
        <x:f>IFERROR(P5/P7-1,0)</x:f>
        <x:v>0.03368121442125238</x:v>
      </x:c>
    </x:row>
    <x:row r="9">
      <x:c r="A9" t="str">
        <x:v>קופת גמל להשקעה</x:v>
      </x:c>
      <x:c r="B9" t="str">
        <x:v>אג"ח</x:v>
      </x:c>
      <x:c r="C9" s="7" t="n">
        <x:v>76000</x:v>
      </x:c>
      <x:c r="D9" t="str">
        <x:v>הפניקס</x:v>
      </x:c>
      <x:c r="E9" t="str">
        <x:v>משפחתי</x:v>
      </x:c>
      <x:c r="F9" s="7" t="n">
        <x:v>2200</x:v>
      </x:c>
      <x:c r="O9" s="14" t="str">
        <x:v>נטו עליה</x:v>
      </x:c>
      <x:c r="P9" s="7" t="n">
        <x:f>P5-P7</x:f>
        <x:v>35500</x:v>
      </x:c>
    </x:row>
    <x:row r="10">
      <x:c r="A10" t="str">
        <x:v>קופת גמל</x:v>
      </x:c>
      <x:c r="B10" t="str">
        <x:v>מניות חו"ל</x:v>
      </x:c>
      <x:c r="C10" s="7" t="n">
        <x:v>69000</x:v>
      </x:c>
      <x:c r="D10" t="str">
        <x:v>מור</x:v>
      </x:c>
      <x:c r="E10" t="str">
        <x:v>אלון</x:v>
      </x:c>
      <x:c r="F10" s="7" t="n">
        <x:v>1800</x:v>
      </x:c>
    </x:row>
    <x:row r="11">
      <x:c r="A11" t="str">
        <x:v>חיסכון לכל ילד</x:v>
      </x:c>
      <x:c r="B11" t="str">
        <x:v>מסלול בסיכון מוגבר</x:v>
      </x:c>
      <x:c r="C11" s="7" t="n">
        <x:v>28400</x:v>
      </x:c>
      <x:c r="D11" t="str">
        <x:v>הראל</x:v>
      </x:c>
      <x:c r="E11" t="str">
        <x:v>דניאל</x:v>
      </x:c>
      <x:c r="F11" s="7" t="n">
        <x:v>900</x:v>
      </x:c>
    </x:row>
    <x:row r="12">
      <x:c r="A12" t="str">
        <x:v>חיסכון לכל ילד</x:v>
      </x:c>
      <x:c r="B12" t="str">
        <x:v>מסלול הלכה</x:v>
      </x:c>
      <x:c r="C12" s="7" t="n">
        <x:v>27100</x:v>
      </x:c>
      <x:c r="D12" t="str">
        <x:v>מנורה מבטחים</x:v>
      </x:c>
      <x:c r="E12" t="str">
        <x:v>יעל</x:v>
      </x:c>
      <x:c r="F12" s="7" t="n">
        <x:v>900</x:v>
      </x:c>
    </x:row>
    <x:row r="13">
      <x:c r="A13" t="str">
        <x:v>תיק השקעות</x:v>
      </x:c>
      <x:c r="B13" t="str">
        <x:v>מניות ישראל</x:v>
      </x:c>
      <x:c r="C13" s="7" t="n">
        <x:v>123000</x:v>
      </x:c>
      <x:c r="D13" t="str">
        <x:v>IBI</x:v>
      </x:c>
      <x:c r="E13" t="str">
        <x:v>אלון</x:v>
      </x:c>
      <x:c r="F13" s="7" t="n">
        <x:v>5000</x:v>
      </x:c>
      <x:c r="O13" s="2" t="str">
        <x:v>חודשים קודמים</x:v>
      </x:c>
      <x:c r="P13" s="2"/>
    </x:row>
    <x:row r="14">
      <x:c r="A14" t="str">
        <x:v>תיק השקעות</x:v>
      </x:c>
      <x:c r="B14" t="str">
        <x:v>אג"ח כללי</x:v>
      </x:c>
      <x:c r="C14" s="7" t="n">
        <x:v>88000</x:v>
      </x:c>
      <x:c r="D14" t="str">
        <x:v>פסגות</x:v>
      </x:c>
      <x:c r="E14" t="str">
        <x:v>משפחתי</x:v>
      </x:c>
      <x:c r="F14" s="7" t="n">
        <x:v>2500</x:v>
      </x:c>
      <x:c r="O14" s="2" t="str">
        <x:v>YYYY-MM-DD</x:v>
      </x:c>
      <x:c r="P14" s="2" t="str">
        <x:v>סכום</x:v>
      </x:c>
    </x:row>
    <x:row r="15">
      <x:c r="A15" t="str">
        <x:v>פיקדון</x:v>
      </x:c>
      <x:c r="B15" t="str">
        <x:v>קצר מועד</x:v>
      </x:c>
      <x:c r="C15" s="7" t="n">
        <x:v>45000</x:v>
      </x:c>
      <x:c r="D15" t="str">
        <x:v>בנק לאומי</x:v>
      </x:c>
      <x:c r="E15" t="str">
        <x:v>משפחתי</x:v>
      </x:c>
      <x:c r="F15" s="7" t="n">
        <x:v>10000</x:v>
      </x:c>
      <x:c r="O15" t="str">
        <x:v>2025-12-31</x:v>
      </x:c>
      <x:c r="P15" s="7" t="n">
        <x:v>910000</x:v>
      </x:c>
    </x:row>
    <x:row r="16">
      <x:c r="A16" t="str">
        <x:v>קופת גמל להשקעה</x:v>
      </x:c>
      <x:c r="B16" t="str">
        <x:v>עוקב נאסד"ק</x:v>
      </x:c>
      <x:c r="C16" s="7" t="n">
        <x:v>81000</x:v>
      </x:c>
      <x:c r="D16" t="str">
        <x:v>אנליסט</x:v>
      </x:c>
      <x:c r="E16" t="str">
        <x:v>נועה</x:v>
      </x:c>
      <x:c r="F16" s="7" t="n">
        <x:v>2700</x:v>
      </x:c>
      <x:c r="O16" t="str">
        <x:v>2026-01-31</x:v>
      </x:c>
      <x:c r="P16" s="7" t="n">
        <x:v>934500</x:v>
      </x:c>
    </x:row>
    <x:row r="17">
      <x:c r="O17" t="str">
        <x:v>2026-02-28</x:v>
      </x:c>
      <x:c r="P17" s="7" t="n">
        <x:v>962000</x:v>
      </x:c>
    </x:row>
    <x:row r="18">
      <x:c r="O18" t="str">
        <x:v>2026-03-31</x:v>
      </x:c>
      <x:c r="P18" s="7" t="n">
        <x:v>1001500</x:v>
      </x:c>
    </x:row>
    <x:row r="19">
      <x:c r="O19" t="str">
        <x:v>2026-04-30</x:v>
      </x:c>
      <x:c r="P19" s="7" t="n">
        <x:v>1054000</x:v>
      </x:c>
    </x:row>
    <x:row r="20">
      <x:c r="O20" t="str">
        <x:v>2026-05-09</x:v>
      </x:c>
      <x:c r="P20" s="7" t="n">
        <x:v>1089500</x:v>
      </x:c>
    </x:row>
  </x:sheetData>
  <x:mergeCells>
    <x:mergeCell ref="A1:F1"/>
    <x:mergeCell ref="A2:F2"/>
    <x:mergeCell ref="H4:M4"/>
    <x:mergeCell ref="H5:M5"/>
    <x:mergeCell ref="H6:M6"/>
    <x:mergeCell ref="H7:M7"/>
    <x:mergeCell ref="H8:M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8" customHeight="1">
      <x:c r="A1" s="2" t="str">
        <x:v>Demo Workbook Guide / מדריך קצר לקובץ הדוגמה</x:v>
      </x:c>
      <x:c r="B1" s="2" t="str">
        <x:v>Demo Workbook Guide / מדריך קצר לקובץ הדוגמה</x:v>
      </x:c>
      <x:c r="C1" s="2" t="str">
        <x:v>Demo Workbook Guide / מדריך קצר לקובץ הדוגמה</x:v>
      </x:c>
      <x:c r="D1" s="2" t="str">
        <x:v>Demo Workbook Guide / מדריך קצר לקובץ הדוגמה</x:v>
      </x:c>
      <x:c r="E1" s="2" t="str">
        <x:v>Demo Workbook Guide / מדריך קצר לקובץ הדוגמה</x:v>
      </x:c>
      <x:c r="F1" s="2" t="str">
        <x:v>Demo Workbook Guide / מדריך קצר לקובץ הדוגמה</x:v>
      </x:c>
      <x:c r="G1" s="2" t="str">
        <x:v>Demo Workbook Guide / מדריך קצר לקובץ הדוגמה</x:v>
      </x:c>
      <x:c r="H1" s="2" t="str">
        <x:v>Demo Workbook Guide / מדריך קצר לקובץ הדוגמה</x:v>
      </x:c>
    </x:row>
    <x:row r="2">
      <x:c r="A2" s="4" t="str">
        <x:v>Use sheet1 for upload. This Guide sheet summarizes the sample portfolio and explains the file structure.</x:v>
      </x:c>
      <x:c r="B2" s="4" t="str">
        <x:v>Use sheet1 for upload. This Guide sheet summarizes the sample portfolio and explains the file structure.</x:v>
      </x:c>
      <x:c r="C2" s="4" t="str">
        <x:v>Use sheet1 for upload. This Guide sheet summarizes the sample portfolio and explains the file structure.</x:v>
      </x:c>
      <x:c r="D2" s="4" t="str">
        <x:v>Use sheet1 for upload. This Guide sheet summarizes the sample portfolio and explains the file structure.</x:v>
      </x:c>
      <x:c r="E2" s="4" t="str">
        <x:v>Use sheet1 for upload. This Guide sheet summarizes the sample portfolio and explains the file structure.</x:v>
      </x:c>
      <x:c r="F2" s="4" t="str">
        <x:v>Use sheet1 for upload. This Guide sheet summarizes the sample portfolio and explains the file structure.</x:v>
      </x:c>
      <x:c r="G2" s="4" t="str">
        <x:v>Use sheet1 for upload. This Guide sheet summarizes the sample portfolio and explains the file structure.</x:v>
      </x:c>
      <x:c r="H2" s="4" t="str">
        <x:v>Use sheet1 for upload. This Guide sheet summarizes the sample portfolio and explains the file structure.</x:v>
      </x:c>
    </x:row>
    <x:row r="4">
      <x:c r="A4" s="6" t="str">
        <x:v>Metric</x:v>
      </x:c>
      <x:c r="B4" s="6" t="str">
        <x:v>Value</x:v>
      </x:c>
      <x:c r="D4" s="9" t="str">
        <x:v>File Notes / הערות למבנה הקובץ</x:v>
      </x:c>
      <x:c r="E4" s="9" t="str">
        <x:v>File Notes / הערות למבנה הקובץ</x:v>
      </x:c>
      <x:c r="F4" s="9" t="str">
        <x:v>File Notes / הערות למבנה הקובץ</x:v>
      </x:c>
      <x:c r="G4" s="9" t="str">
        <x:v>File Notes / הערות למבנה הקובץ</x:v>
      </x:c>
      <x:c r="H4" s="9" t="str">
        <x:v>File Notes / הערות למבנה הקובץ</x:v>
      </x:c>
    </x:row>
    <x:row r="5">
      <x:c r="A5" t="str">
        <x:v>Current total</x:v>
      </x:c>
      <x:c r="B5" s="7" t="n">
        <x:f>sheet1!P5</x:f>
        <x:v>1089500</x:v>
      </x:c>
      <x:c r="D5" s="11" t="str">
        <x:v>1. Keep the sheet name exactly as sheet1.</x:v>
      </x:c>
      <x:c r="E5" s="11" t="str">
        <x:v>1. Keep the sheet name exactly as sheet1.</x:v>
      </x:c>
      <x:c r="F5" s="11" t="str">
        <x:v>1. Keep the sheet name exactly as sheet1.</x:v>
      </x:c>
      <x:c r="G5" s="11" t="str">
        <x:v>1. Keep the sheet name exactly as sheet1.</x:v>
      </x:c>
      <x:c r="H5" s="11" t="str">
        <x:v>1. Keep the sheet name exactly as sheet1.</x:v>
      </x:c>
    </x:row>
    <x:row r="6">
      <x:c r="A6" t="str">
        <x:v>Previous total</x:v>
      </x:c>
      <x:c r="B6" s="7" t="n">
        <x:f>sheet1!P7</x:f>
        <x:v>1054000</x:v>
      </x:c>
      <x:c r="D6" s="13" t="str">
        <x:v>2. Row 4 headers must stay in Hebrew as they appear in the template.</x:v>
      </x:c>
      <x:c r="E6" s="13" t="str">
        <x:v>2. Row 4 headers must stay in Hebrew as they appear in the template.</x:v>
      </x:c>
      <x:c r="F6" s="13" t="str">
        <x:v>2. Row 4 headers must stay in Hebrew as they appear in the template.</x:v>
      </x:c>
      <x:c r="G6" s="13" t="str">
        <x:v>2. Row 4 headers must stay in Hebrew as they appear in the template.</x:v>
      </x:c>
      <x:c r="H6" s="13" t="str">
        <x:v>2. Row 4 headers must stay in Hebrew as they appear in the template.</x:v>
      </x:c>
    </x:row>
    <x:row r="7">
      <x:c r="A7" t="str">
        <x:v>Net change</x:v>
      </x:c>
      <x:c r="B7" s="7" t="n">
        <x:f>sheet1!P9</x:f>
        <x:v>35500</x:v>
      </x:c>
      <x:c r="D7" s="11" t="str">
        <x:v>3. Rows 5 and below contain one holding per row.</x:v>
      </x:c>
      <x:c r="E7" s="11" t="str">
        <x:v>3. Rows 5 and below contain one holding per row.</x:v>
      </x:c>
      <x:c r="F7" s="11" t="str">
        <x:v>3. Rows 5 and below contain one holding per row.</x:v>
      </x:c>
      <x:c r="G7" s="11" t="str">
        <x:v>3. Rows 5 and below contain one holding per row.</x:v>
      </x:c>
      <x:c r="H7" s="11" t="str">
        <x:v>3. Rows 5 and below contain one holding per row.</x:v>
      </x:c>
    </x:row>
    <x:row r="8">
      <x:c r="A8" t="str">
        <x:v>Growth</x:v>
      </x:c>
      <x:c r="B8" s="16" t="n">
        <x:f>sheet1!P8</x:f>
        <x:v>0.03368121442125238</x:v>
      </x:c>
      <x:c r="D8" s="13" t="str">
        <x:v>4. Columns O:P are optional but power the growth story in the app.</x:v>
      </x:c>
      <x:c r="E8" s="13" t="str">
        <x:v>4. Columns O:P are optional but power the growth story in the app.</x:v>
      </x:c>
      <x:c r="F8" s="13" t="str">
        <x:v>4. Columns O:P are optional but power the growth story in the app.</x:v>
      </x:c>
      <x:c r="G8" s="13" t="str">
        <x:v>4. Columns O:P are optional but power the growth story in the app.</x:v>
      </x:c>
      <x:c r="H8" s="13" t="str">
        <x:v>4. Columns O:P are optional but power the growth story in the app.</x:v>
      </x:c>
    </x:row>
    <x:row r="10">
      <x:c r="A10" s="2" t="str">
        <x:v>Date</x:v>
      </x:c>
      <x:c r="B10" s="2" t="str">
        <x:v>Total</x:v>
      </x:c>
    </x:row>
    <x:row r="11">
      <x:c r="A11" t="str">
        <x:v>2025-12-31</x:v>
      </x:c>
      <x:c r="B11" s="7" t="n">
        <x:v>910000</x:v>
      </x:c>
    </x:row>
    <x:row r="12">
      <x:c r="A12" t="str">
        <x:v>2026-01-31</x:v>
      </x:c>
      <x:c r="B12" s="7" t="n">
        <x:v>934500</x:v>
      </x:c>
    </x:row>
    <x:row r="13">
      <x:c r="A13" t="str">
        <x:v>2026-02-28</x:v>
      </x:c>
      <x:c r="B13" s="7" t="n">
        <x:v>962000</x:v>
      </x:c>
    </x:row>
    <x:row r="14">
      <x:c r="A14" t="str">
        <x:v>2026-03-31</x:v>
      </x:c>
      <x:c r="B14" s="7" t="n">
        <x:v>1001500</x:v>
      </x:c>
    </x:row>
    <x:row r="15">
      <x:c r="A15" t="str">
        <x:v>2026-04-30</x:v>
      </x:c>
      <x:c r="B15" s="7" t="n">
        <x:v>1054000</x:v>
      </x:c>
    </x:row>
    <x:row r="16">
      <x:c r="A16" t="str">
        <x:v>2026-05-09</x:v>
      </x:c>
      <x:c r="B16" s="7" t="n">
        <x:v>1089500</x:v>
      </x:c>
    </x:row>
  </x:sheetData>
  <x:mergeCells>
    <x:mergeCell ref="A1:H1"/>
    <x:mergeCell ref="A2:H2"/>
    <x:mergeCell ref="D4:H4"/>
    <x:mergeCell ref="D5:H5"/>
    <x:mergeCell ref="D6:H6"/>
    <x:mergeCell ref="D7:H7"/>
    <x:mergeCell ref="D8:H8"/>
  </x:mergeCells>
  <x:pageMargins left="0.7" right="0.7" top="0.75" bottom="0.75" header="0.3" footer="0.3"/>
  <x:drawing xmlns:r="http://schemas.openxmlformats.org/officeDocument/2006/relationships" r:id="R7a076e7c6e26498b"/>
</x:worksheet>
</file>